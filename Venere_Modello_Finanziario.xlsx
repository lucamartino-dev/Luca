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tesi" sheetId="1" state="visible" r:id="rId1"/>
    <sheet name="Assunzioni" sheetId="2" state="visible" r:id="rId2"/>
    <sheet name="Unit_Economics" sheetId="3" state="visible" r:id="rId3"/>
    <sheet name="Seed_500k" sheetId="4" state="visible" r:id="rId4"/>
    <sheet name="Gruppo_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x"/>
    <numFmt numFmtId="165" formatCode="€#,##0;(€#,##0);-"/>
    <numFmt numFmtId="166" formatCode="0.0%"/>
    <numFmt numFmtId="167" formatCode="#,##0;(#,##0);-"/>
  </numFmts>
  <fonts count="11">
    <font>
      <name val="Calibri"/>
      <family val="2"/>
      <color theme="1"/>
      <sz val="11"/>
      <scheme val="minor"/>
    </font>
    <font>
      <name val="Arial"/>
      <b val="1"/>
      <color rgb="005B1F33"/>
      <sz val="14"/>
    </font>
    <font>
      <name val="Arial"/>
      <i val="1"/>
      <color rgb="00777777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B00000"/>
      <sz val="10"/>
    </font>
    <font>
      <name val="Arial"/>
      <b val="1"/>
      <color rgb="00FFFFFF"/>
      <sz val="10"/>
    </font>
    <font>
      <name val="Arial"/>
      <color rgb="000000CC"/>
    </font>
  </fonts>
  <fills count="4">
    <fill>
      <patternFill/>
    </fill>
    <fill>
      <patternFill patternType="gray125"/>
    </fill>
    <fill>
      <patternFill patternType="solid">
        <fgColor rgb="005B1F33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7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4" fillId="0" borderId="0" pivotButton="0" quotePrefix="0" xfId="0"/>
    <xf numFmtId="165" fontId="5" fillId="3" borderId="0" pivotButton="0" quotePrefix="0" xfId="0"/>
    <xf numFmtId="166" fontId="5" fillId="3" borderId="0" pivotButton="0" quotePrefix="0" xfId="0"/>
    <xf numFmtId="164" fontId="5" fillId="3" borderId="0" pivotButton="0" quotePrefix="0" xfId="0"/>
    <xf numFmtId="167" fontId="5" fillId="3" borderId="0" pivotButton="0" quotePrefix="0" xfId="0"/>
    <xf numFmtId="165" fontId="4" fillId="0" borderId="0" pivotButton="0" quotePrefix="0" xfId="0"/>
    <xf numFmtId="164" fontId="4" fillId="0" borderId="0" pivotButton="0" quotePrefix="0" xfId="0"/>
    <xf numFmtId="165" fontId="7" fillId="0" borderId="0" pivotButton="0" quotePrefix="0" xfId="0"/>
    <xf numFmtId="164" fontId="7" fillId="0" borderId="0" pivotButton="0" quotePrefix="0" xfId="0"/>
    <xf numFmtId="165" fontId="8" fillId="0" borderId="0" pivotButton="0" quotePrefix="0" xfId="0"/>
    <xf numFmtId="0" fontId="9" fillId="2" borderId="0" applyAlignment="1" pivotButton="0" quotePrefix="0" xfId="0">
      <alignment horizontal="center"/>
    </xf>
    <xf numFmtId="167" fontId="6" fillId="0" borderId="0" pivotButton="0" quotePrefix="0" xfId="0"/>
    <xf numFmtId="166" fontId="4" fillId="0" borderId="0" pivotButton="0" quotePrefix="0" xfId="0"/>
    <xf numFmtId="0" fontId="7" fillId="0" borderId="0" applyAlignment="1" pivotButton="0" quotePrefix="0" xfId="0">
      <alignment horizontal="center"/>
    </xf>
    <xf numFmtId="166" fontId="7" fillId="0" borderId="0" pivotButton="0" quotePrefix="0" xfId="0"/>
    <xf numFmtId="166" fontId="2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5" fontId="10" fillId="3" borderId="0" pivotButton="0" quotePrefix="0" xfId="0"/>
    <xf numFmtId="166" fontId="5" fillId="3" borderId="0" pivotButton="0" quotePrefix="0" xfId="0"/>
    <xf numFmtId="164" fontId="5" fillId="3" borderId="0" pivotButton="0" quotePrefix="0" xfId="0"/>
    <xf numFmtId="167" fontId="10" fillId="3" borderId="0" pivotButton="0" quotePrefix="0" xfId="0"/>
    <xf numFmtId="165" fontId="5" fillId="3" borderId="0" pivotButton="0" quotePrefix="0" xfId="0"/>
    <xf numFmtId="165" fontId="4" fillId="0" borderId="0" pivotButton="0" quotePrefix="0" xfId="0"/>
    <xf numFmtId="164" fontId="4" fillId="0" borderId="0" pivotButton="0" quotePrefix="0" xfId="0"/>
    <xf numFmtId="165" fontId="7" fillId="0" borderId="0" pivotButton="0" quotePrefix="0" xfId="0"/>
    <xf numFmtId="164" fontId="7" fillId="0" borderId="0" pivotButton="0" quotePrefix="0" xfId="0"/>
    <xf numFmtId="165" fontId="8" fillId="0" borderId="0" pivotButton="0" quotePrefix="0" xfId="0"/>
    <xf numFmtId="166" fontId="4" fillId="0" borderId="0" pivotButton="0" quotePrefix="0" xfId="0"/>
    <xf numFmtId="166" fontId="7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40" customWidth="1" min="4" max="4"/>
  </cols>
  <sheetData>
    <row r="1">
      <c r="A1" s="1" t="inlineStr">
        <is>
          <t>VENERE — Sintesi del modello finanziario</t>
        </is>
      </c>
    </row>
    <row r="2">
      <c r="A2" s="2" t="inlineStr">
        <is>
          <t>Base case regime AMBULATORIO, numeri illustrativi da validare in DD. Il file RICALCOLA all'apertura in Excel o Google Sheets.</t>
        </is>
      </c>
    </row>
    <row r="4">
      <c r="A4" s="3" t="inlineStr">
        <is>
          <t>Numeri chiave (base case)</t>
        </is>
      </c>
      <c r="B4" s="4" t="n"/>
    </row>
    <row r="5">
      <c r="A5" s="5" t="inlineStr">
        <is>
          <t>MOIC per ambulatorio convertito</t>
        </is>
      </c>
      <c r="B5" s="24">
        <f>Unit_Economics!B21</f>
        <v/>
      </c>
    </row>
    <row r="6">
      <c r="A6" s="5" t="inlineStr">
        <is>
          <t>Capitale investito per centro</t>
        </is>
      </c>
      <c r="B6" s="25">
        <f>Unit_Economics!B11</f>
        <v/>
      </c>
    </row>
    <row r="7">
      <c r="A7" s="5" t="inlineStr">
        <is>
          <t>EBITDA a regime per centro</t>
        </is>
      </c>
      <c r="B7" s="25">
        <f>Unit_Economics!B15</f>
        <v/>
      </c>
    </row>
    <row r="8">
      <c r="A8" s="5" t="inlineStr">
        <is>
          <t>Seed — totale impieghi (vs €500k)</t>
        </is>
      </c>
      <c r="B8" s="25">
        <f>Seed_500k!B8</f>
        <v/>
      </c>
    </row>
    <row r="9">
      <c r="A9" s="5" t="inlineStr">
        <is>
          <t>Seed — residuo dopo il pilota (LOI + WC)</t>
        </is>
      </c>
      <c r="B9" s="25">
        <f>Seed_500k!B12</f>
        <v/>
      </c>
    </row>
    <row r="10">
      <c r="A10" s="5" t="inlineStr">
        <is>
          <t>EBITDA gruppo Anno 5</t>
        </is>
      </c>
      <c r="B10" s="25">
        <f>Gruppo_Returns!F8</f>
        <v/>
      </c>
    </row>
    <row r="11">
      <c r="A11" s="5" t="inlineStr">
        <is>
          <t>Enterprise Value all'exit (Anno 5)</t>
        </is>
      </c>
      <c r="B11" s="25">
        <f>Gruppo_Returns!B12</f>
        <v/>
      </c>
    </row>
    <row r="12">
      <c r="A12" s="5" t="inlineStr">
        <is>
          <t>MOIC investitore seed</t>
        </is>
      </c>
      <c r="B12" s="24">
        <f>Gruppo_Returns!E16</f>
        <v/>
      </c>
    </row>
    <row r="13">
      <c r="A13" s="5" t="inlineStr">
        <is>
          <t>Valore fondatori all'exit</t>
        </is>
      </c>
      <c r="B13" s="25">
        <f>Gruppo_Returns!D19</f>
        <v/>
      </c>
    </row>
    <row r="15">
      <c r="A15" s="2" t="inlineStr">
        <is>
          <t>Come si legge: celle BLU (foglio Assunzioni) = leve modificabili · VERDE = link tra fogli · NERO = formula.</t>
        </is>
      </c>
    </row>
    <row r="16">
      <c r="A16" s="2" t="inlineStr">
        <is>
          <t>Fogli: Assunzioni · Unit_Economics · Seed_500k · Gruppo_Returns.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2" customWidth="1" min="3" max="3"/>
    <col width="60" customWidth="1" min="4" max="4"/>
  </cols>
  <sheetData>
    <row r="1">
      <c r="A1" s="1" t="inlineStr">
        <is>
          <t>VENERE — Modello finanziario · Assunzioni (celle blu = leve modificabili)</t>
        </is>
      </c>
    </row>
    <row r="2">
      <c r="A2" s="2" t="inlineStr">
        <is>
          <t>Numeri illustrativi, base case (regime AMBULATORIO). Da validare in DD. Fonti: annunci idealista/immobiliare, benchmark medspa USA, deck Venere v7.</t>
        </is>
      </c>
    </row>
    <row r="4">
      <c r="A4" s="3" t="inlineStr">
        <is>
          <t>UNIT ECONOMICS — un centro convertito</t>
        </is>
      </c>
      <c r="B4" s="4" t="n"/>
      <c r="C4" s="4" t="n"/>
      <c r="D4" s="4" t="n"/>
    </row>
    <row r="5">
      <c r="A5" s="8" t="inlineStr">
        <is>
          <t>Ricavi centro all'acquisto</t>
        </is>
      </c>
      <c r="B5" s="26" t="n">
        <v>650000</v>
      </c>
      <c r="C5" s="2" t="inlineStr">
        <is>
          <t>€/anno</t>
        </is>
      </c>
      <c r="D5" s="2" t="inlineStr">
        <is>
          <t>centro estetico affermato con footfall reale</t>
        </is>
      </c>
    </row>
    <row r="6">
      <c r="A6" s="8" t="inlineStr">
        <is>
          <t>Margine EBITDA all'acquisto</t>
        </is>
      </c>
      <c r="B6" s="27" t="n">
        <v>0.15</v>
      </c>
      <c r="D6" s="2" t="inlineStr">
        <is>
          <t>tipico centro estetico</t>
        </is>
      </c>
    </row>
    <row r="7">
      <c r="A7" s="8" t="inlineStr">
        <is>
          <t>Prezzo d'acquisto (cessione attività)</t>
        </is>
      </c>
      <c r="B7" s="26" t="n">
        <v>350000</v>
      </c>
      <c r="D7" s="2" t="inlineStr">
        <is>
          <t>circa 3,5x EBITDA normalizzato (grande centro)</t>
        </is>
      </c>
    </row>
    <row r="8">
      <c r="A8" s="8" t="inlineStr">
        <is>
          <t>Capex di conversione in ambulatorio</t>
        </is>
      </c>
      <c r="B8" s="26" t="n">
        <v>350000</v>
      </c>
      <c r="D8" s="2" t="inlineStr">
        <is>
          <t>AMBULATORIO: locali distinti, impianti, autorizzazione, sterilizzazione, device (range 250-450k)</t>
        </is>
      </c>
    </row>
    <row r="9">
      <c r="A9" s="8" t="inlineStr">
        <is>
          <t>Ricavi a regime (medicalizzato, 24m)</t>
        </is>
      </c>
      <c r="B9" s="26" t="n">
        <v>1200000</v>
      </c>
      <c r="C9" s="2" t="inlineStr">
        <is>
          <t>€/anno</t>
        </is>
      </c>
      <c r="D9" s="2" t="inlineStr">
        <is>
          <t>beauty + medicina estetica in ambulatorio, su base clienti</t>
        </is>
      </c>
    </row>
    <row r="10">
      <c r="A10" s="8" t="inlineStr">
        <is>
          <t>Margine EBITDA a regime</t>
        </is>
      </c>
      <c r="B10" s="27" t="n">
        <v>0.25</v>
      </c>
      <c r="D10" s="2" t="inlineStr">
        <is>
          <t>medspa maturi 20-28%; prudente 25%</t>
        </is>
      </c>
    </row>
    <row r="11">
      <c r="A11" s="8" t="inlineStr">
        <is>
          <t>Multiplo di uscita (EBITDA)</t>
        </is>
      </c>
      <c r="B11" s="28" t="n">
        <v>8</v>
      </c>
      <c r="D11" s="2" t="inlineStr">
        <is>
          <t>healthcare-services 7-10x; upside AI-platform</t>
        </is>
      </c>
    </row>
    <row r="12">
      <c r="A12" s="8" t="inlineStr">
        <is>
          <t>Fattore di maturità dei ricavi (blended)</t>
        </is>
      </c>
      <c r="B12" s="27" t="n">
        <v>0.8</v>
      </c>
      <c r="D12" s="2" t="inlineStr">
        <is>
          <t>sedi non tutte a regime nell'anno</t>
        </is>
      </c>
    </row>
    <row r="14">
      <c r="A14" s="3" t="inlineStr">
        <is>
          <t>ROLLOUT — centri medicalizzati cumulati per anno</t>
        </is>
      </c>
      <c r="B14" s="4" t="n"/>
      <c r="C14" s="4" t="n"/>
      <c r="D14" s="4" t="n"/>
    </row>
    <row r="15">
      <c r="A15" s="8" t="inlineStr">
        <is>
          <t>Anno 1</t>
        </is>
      </c>
      <c r="B15" s="29" t="n">
        <v>1</v>
      </c>
      <c r="D15" s="2" t="inlineStr">
        <is>
          <t>Anno 1 = seed (1 ambulatorio pilota); da Anno 2 la scala</t>
        </is>
      </c>
    </row>
    <row r="16">
      <c r="A16" s="8" t="inlineStr">
        <is>
          <t>Anno 2</t>
        </is>
      </c>
      <c r="B16" s="29" t="n">
        <v>5</v>
      </c>
    </row>
    <row r="17">
      <c r="A17" s="8" t="inlineStr">
        <is>
          <t>Anno 3</t>
        </is>
      </c>
      <c r="B17" s="29" t="n">
        <v>10</v>
      </c>
    </row>
    <row r="18">
      <c r="A18" s="8" t="inlineStr">
        <is>
          <t>Anno 4</t>
        </is>
      </c>
      <c r="B18" s="29" t="n">
        <v>16</v>
      </c>
    </row>
    <row r="19">
      <c r="A19" s="8" t="inlineStr">
        <is>
          <t>Anno 5</t>
        </is>
      </c>
      <c r="B19" s="29" t="n">
        <v>24</v>
      </c>
    </row>
    <row r="21">
      <c r="A21" s="3" t="inlineStr">
        <is>
          <t>COSTO PIATTAFORMA CENTRALE (HQ, management, AI, brand) — €/anno</t>
        </is>
      </c>
      <c r="B21" s="4" t="n"/>
      <c r="C21" s="4" t="n"/>
      <c r="D21" s="4" t="n"/>
    </row>
    <row r="22">
      <c r="A22" s="8" t="inlineStr">
        <is>
          <t>Anno 1</t>
        </is>
      </c>
      <c r="B22" s="30" t="n">
        <v>300000</v>
      </c>
    </row>
    <row r="23">
      <c r="A23" s="8" t="inlineStr">
        <is>
          <t>Anno 2</t>
        </is>
      </c>
      <c r="B23" s="30" t="n">
        <v>600000</v>
      </c>
    </row>
    <row r="24">
      <c r="A24" s="8" t="inlineStr">
        <is>
          <t>Anno 3</t>
        </is>
      </c>
      <c r="B24" s="30" t="n">
        <v>1000000</v>
      </c>
    </row>
    <row r="25">
      <c r="A25" s="8" t="inlineStr">
        <is>
          <t>Anno 4</t>
        </is>
      </c>
      <c r="B25" s="30" t="n">
        <v>1400000</v>
      </c>
    </row>
    <row r="26">
      <c r="A26" s="8" t="inlineStr">
        <is>
          <t>Anno 5</t>
        </is>
      </c>
      <c r="B26" s="30" t="n">
        <v>1800000</v>
      </c>
    </row>
    <row r="28">
      <c r="A28" s="3" t="inlineStr">
        <is>
          <t>FUNDING — le due raccolte</t>
        </is>
      </c>
      <c r="B28" s="4" t="n"/>
      <c r="C28" s="4" t="n"/>
      <c r="D28" s="4" t="n"/>
    </row>
    <row r="29">
      <c r="A29" s="8" t="inlineStr">
        <is>
          <t>Seed (l'ask di oggi)</t>
        </is>
      </c>
      <c r="B29" s="30" t="n">
        <v>700000</v>
      </c>
      <c r="D29" s="2" t="inlineStr">
        <is>
          <t>seed-pilota: 1 ambulatorio pilota completo + 3 LOI blindate</t>
        </is>
      </c>
    </row>
    <row r="30">
      <c r="A30" s="8" t="inlineStr">
        <is>
          <t>Seed — post-money</t>
        </is>
      </c>
      <c r="B30" s="30" t="n">
        <v>4500000</v>
      </c>
      <c r="D30" s="2" t="inlineStr">
        <is>
          <t>post-money indicativo (~15% ceduto); floor 3,5M (20%)</t>
        </is>
      </c>
    </row>
    <row r="31">
      <c r="A31" s="8" t="inlineStr">
        <is>
          <t>Round di scala</t>
        </is>
      </c>
      <c r="B31" s="26" t="n">
        <v>4000000</v>
      </c>
      <c r="D31" s="2" t="inlineStr">
        <is>
          <t>a modello provato (range 3-5M); converte i 3 + cluster</t>
        </is>
      </c>
    </row>
    <row r="32">
      <c r="A32" s="8" t="inlineStr">
        <is>
          <t>Round di scala — post-money</t>
        </is>
      </c>
      <c r="B32" s="30" t="n">
        <v>15000000</v>
      </c>
      <c r="D32" s="2" t="inlineStr">
        <is>
          <t>valutazione ipotizzata</t>
        </is>
      </c>
    </row>
    <row r="33">
      <c r="A33" s="8" t="inlineStr">
        <is>
          <t>Pool ESOP (management, incl. COO)</t>
        </is>
      </c>
      <c r="B33" s="27" t="n">
        <v>0.12</v>
      </c>
      <c r="D33" s="2" t="inlineStr">
        <is>
          <t>creato al round di scala</t>
        </is>
      </c>
    </row>
    <row r="35">
      <c r="A35" s="3" t="inlineStr">
        <is>
          <t>SEED — sotto-assunzioni (1 ambulatorio pilota + pipeline LOI)</t>
        </is>
      </c>
      <c r="B35" s="4" t="n"/>
      <c r="C35" s="4" t="n"/>
      <c r="D35" s="4" t="n"/>
    </row>
    <row r="36">
      <c r="A36" s="8" t="inlineStr">
        <is>
          <t>Cash al closing centro pilota</t>
        </is>
      </c>
      <c r="B36" s="26" t="n">
        <v>200000</v>
      </c>
      <c r="D36" s="2" t="inlineStr">
        <is>
          <t>cash al closing pilota (con rollover del venditore)</t>
        </is>
      </c>
    </row>
    <row r="37">
      <c r="A37" s="8" t="inlineStr">
        <is>
          <t>Capex conversione ambulatorio pilota (lean)</t>
        </is>
      </c>
      <c r="B37" s="26" t="n">
        <v>350000</v>
      </c>
      <c r="D37" s="2" t="inlineStr">
        <is>
          <t>capex pieno sul pilota (con €700k te lo puoi permettere)</t>
        </is>
      </c>
    </row>
    <row r="38">
      <c r="A38" s="8" t="inlineStr">
        <is>
          <t>N ambulatori convertiti nel seed</t>
        </is>
      </c>
      <c r="B38" s="29" t="n">
        <v>1</v>
      </c>
      <c r="D38" s="2" t="inlineStr">
        <is>
          <t>il pilota; gli altri 2 in Series A</t>
        </is>
      </c>
    </row>
    <row r="39">
      <c r="A39" s="8" t="inlineStr">
        <is>
          <t>Acconti/opzioni su 2 LOI aggiuntive</t>
        </is>
      </c>
      <c r="B39" s="29" t="n">
        <v>20000</v>
      </c>
      <c r="D39" s="2" t="inlineStr">
        <is>
          <t>blindare la pipeline per la Series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50" customWidth="1" min="4" max="4"/>
  </cols>
  <sheetData>
    <row r="1">
      <c r="A1" s="1" t="inlineStr">
        <is>
          <t>Unit economics — un centro estetico convertito in ambulatorio</t>
        </is>
      </c>
    </row>
    <row r="3">
      <c r="A3" s="3" t="inlineStr">
        <is>
          <t>All'acquisto (centro estetico)</t>
        </is>
      </c>
      <c r="B3" s="4" t="n"/>
      <c r="C3" s="4" t="n"/>
      <c r="D3" s="4" t="n"/>
    </row>
    <row r="4">
      <c r="A4" s="8" t="inlineStr">
        <is>
          <t>Ricavi</t>
        </is>
      </c>
      <c r="B4" s="25">
        <f>Assunzioni!B5</f>
        <v/>
      </c>
    </row>
    <row r="5">
      <c r="A5" s="8" t="inlineStr">
        <is>
          <t>EBITDA</t>
        </is>
      </c>
      <c r="B5" s="31">
        <f>Assunzioni!B5*Assunzioni!B6</f>
        <v/>
      </c>
    </row>
    <row r="6">
      <c r="A6" s="8" t="inlineStr">
        <is>
          <t>Prezzo d'acquisto</t>
        </is>
      </c>
      <c r="B6" s="25">
        <f>Assunzioni!B7</f>
        <v/>
      </c>
    </row>
    <row r="7">
      <c r="A7" s="8" t="inlineStr">
        <is>
          <t>Multiplo implicito d'acquisto</t>
        </is>
      </c>
      <c r="B7" s="32">
        <f>B6/B5</f>
        <v/>
      </c>
      <c r="D7" s="2" t="inlineStr">
        <is>
          <t>a quanto stai comprando l'EBITDA</t>
        </is>
      </c>
    </row>
    <row r="9">
      <c r="A9" s="3" t="inlineStr">
        <is>
          <t>Conversione in ambulatorio</t>
        </is>
      </c>
      <c r="B9" s="4" t="n"/>
      <c r="C9" s="4" t="n"/>
      <c r="D9" s="4" t="n"/>
    </row>
    <row r="10">
      <c r="A10" s="8" t="inlineStr">
        <is>
          <t>Capex di conversione in ambulatorio</t>
        </is>
      </c>
      <c r="B10" s="25">
        <f>Assunzioni!B8</f>
        <v/>
      </c>
    </row>
    <row r="11">
      <c r="A11" s="5" t="inlineStr">
        <is>
          <t>Capitale investito totale</t>
        </is>
      </c>
      <c r="B11" s="33">
        <f>B6+B10</f>
        <v/>
      </c>
    </row>
    <row r="13">
      <c r="A13" s="3" t="inlineStr">
        <is>
          <t>A regime (24 mesi, ambulatorio)</t>
        </is>
      </c>
      <c r="B13" s="4" t="n"/>
      <c r="C13" s="4" t="n"/>
      <c r="D13" s="4" t="n"/>
    </row>
    <row r="14">
      <c r="A14" s="8" t="inlineStr">
        <is>
          <t>Ricavi a regime</t>
        </is>
      </c>
      <c r="B14" s="25">
        <f>Assunzioni!B9</f>
        <v/>
      </c>
    </row>
    <row r="15">
      <c r="A15" s="5" t="inlineStr">
        <is>
          <t>EBITDA a regime</t>
        </is>
      </c>
      <c r="B15" s="33">
        <f>Assunzioni!B9*Assunzioni!B10</f>
        <v/>
      </c>
    </row>
    <row r="16">
      <c r="A16" s="8" t="inlineStr">
        <is>
          <t>Uplift EBITDA vs acquisto</t>
        </is>
      </c>
      <c r="B16" s="31">
        <f>B15-B5</f>
        <v/>
      </c>
    </row>
    <row r="18">
      <c r="A18" s="3" t="inlineStr">
        <is>
          <t>Creazione di valore ed exit</t>
        </is>
      </c>
      <c r="B18" s="4" t="n"/>
      <c r="C18" s="4" t="n"/>
      <c r="D18" s="4" t="n"/>
    </row>
    <row r="19">
      <c r="A19" s="5" t="inlineStr">
        <is>
          <t>Valore a regime (EBITDA x multiplo)</t>
        </is>
      </c>
      <c r="B19" s="33">
        <f>B15*Assunzioni!B11</f>
        <v/>
      </c>
    </row>
    <row r="20">
      <c r="A20" s="8" t="inlineStr">
        <is>
          <t>Valore creato (netto del capitale investito)</t>
        </is>
      </c>
      <c r="B20" s="31">
        <f>B19-B11</f>
        <v/>
      </c>
    </row>
    <row r="21">
      <c r="A21" s="5" t="inlineStr">
        <is>
          <t>MOIC per centro (valore / capitale investito)</t>
        </is>
      </c>
      <c r="B21" s="34">
        <f>B19/B11</f>
        <v/>
      </c>
    </row>
    <row r="23">
      <c r="A23" s="2" t="inlineStr">
        <is>
          <t>Doppio arbitraggio: compri a sconto (multiplo basso) + converti in ambulatorio (EBITDA su, re-rating a multiplo medico). Capex piu' alto dello studio medico: e' la barra che fa da fossato.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0" customWidth="1" min="3" max="3"/>
    <col width="50" customWidth="1" min="4" max="4"/>
  </cols>
  <sheetData>
    <row r="1">
      <c r="A1" s="1" t="inlineStr">
        <is>
          <t>Seed €500k — use of funds (cosa compra davvero, regime ambulatorio)</t>
        </is>
      </c>
    </row>
    <row r="3">
      <c r="A3" s="3" t="inlineStr">
        <is>
          <t>Impieghi</t>
        </is>
      </c>
      <c r="B3" s="4" t="n"/>
      <c r="C3" s="4" t="n"/>
      <c r="D3" s="4" t="n"/>
    </row>
    <row r="4">
      <c r="A4" s="8" t="inlineStr">
        <is>
          <t>Cash al closing centro pilota</t>
        </is>
      </c>
      <c r="B4" s="25">
        <f>Assunzioni!B36</f>
        <v/>
      </c>
    </row>
    <row r="5">
      <c r="A5" s="8" t="inlineStr">
        <is>
          <t>Capex conversione ambulatorio (pilota, lean)</t>
        </is>
      </c>
      <c r="B5" s="25">
        <f>Assunzioni!B37</f>
        <v/>
      </c>
    </row>
    <row r="6">
      <c r="A6" s="8" t="inlineStr">
        <is>
          <t>Acconti/opzioni su 2 LOI aggiuntive</t>
        </is>
      </c>
      <c r="B6" s="31">
        <f>Assunzioni!B39</f>
        <v/>
      </c>
      <c r="D6" s="2" t="n"/>
    </row>
    <row r="7">
      <c r="A7" s="5" t="inlineStr">
        <is>
          <t>Working capital + costi centrali di partenza</t>
        </is>
      </c>
      <c r="B7" s="33">
        <f>B10-B4-B5-B6</f>
        <v/>
      </c>
      <c r="D7" t="inlineStr">
        <is>
          <t>residuo del seed</t>
        </is>
      </c>
    </row>
    <row r="8">
      <c r="A8" s="3" t="inlineStr">
        <is>
          <t>Totale impieghi</t>
        </is>
      </c>
      <c r="B8" s="4">
        <f>B4+B5+B6+B7</f>
        <v/>
      </c>
      <c r="C8" s="4" t="n"/>
      <c r="D8" s="4" t="n"/>
    </row>
    <row r="9">
      <c r="A9" s="5" t="inlineStr">
        <is>
          <t>Fonti e verifica</t>
        </is>
      </c>
      <c r="B9" s="33" t="n"/>
    </row>
    <row r="10">
      <c r="A10" s="8" t="inlineStr">
        <is>
          <t>Seed disponibile</t>
        </is>
      </c>
      <c r="B10" s="31">
        <f>Assunzioni!B29</f>
        <v/>
      </c>
      <c r="D10" s="2" t="n"/>
    </row>
    <row r="11">
      <c r="A11" s="8" t="inlineStr">
        <is>
          <t>Fabbisogno 1 pilota completo (closing + capex)</t>
        </is>
      </c>
      <c r="B11" s="35">
        <f>B4+B5</f>
        <v/>
      </c>
    </row>
    <row r="12">
      <c r="A12" t="inlineStr">
        <is>
          <t>Residuo dopo il pilota (per LOI + WC)</t>
        </is>
      </c>
      <c r="B12">
        <f>B10-B11</f>
        <v/>
      </c>
    </row>
    <row r="13">
      <c r="A13" s="2" t="inlineStr">
        <is>
          <t>Fabbisogno per convertire PIENAMENTE i 3 (Series A)</t>
        </is>
      </c>
      <c r="B13">
        <f>3*(Assunzioni!B7*0.65+Assunzioni!B8)</f>
        <v/>
      </c>
    </row>
    <row r="14">
      <c r="A14" s="2" t="inlineStr">
        <is>
          <t>Lettura onesta: €500k converte 1 ambulatorio PILOTA e blinda 3 LOI (margine sottile). La conversione piena dei 3 e' la Series A (~€1,6M). Per un pilota comodo servirebbero ~€600-700k.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Gruppo — P&amp;L a 5 anni e ritorni</t>
        </is>
      </c>
    </row>
    <row r="3">
      <c r="A3" s="5" t="inlineStr"/>
      <c r="B3" s="18" t="inlineStr">
        <is>
          <t>Anno 1</t>
        </is>
      </c>
      <c r="C3" s="18" t="inlineStr">
        <is>
          <t>Anno 2</t>
        </is>
      </c>
      <c r="D3" s="18" t="inlineStr">
        <is>
          <t>Anno 3</t>
        </is>
      </c>
      <c r="E3" s="18" t="inlineStr">
        <is>
          <t>Anno 4</t>
        </is>
      </c>
      <c r="F3" s="18" t="inlineStr">
        <is>
          <t>Anno 5</t>
        </is>
      </c>
    </row>
    <row r="4">
      <c r="A4" s="8" t="inlineStr">
        <is>
          <t>Centri medicalizzati (cumulati)</t>
        </is>
      </c>
      <c r="B4" s="19">
        <f>Assunzioni!B15</f>
        <v/>
      </c>
      <c r="C4" s="19">
        <f>Assunzioni!B16</f>
        <v/>
      </c>
      <c r="D4" s="19">
        <f>Assunzioni!B17</f>
        <v/>
      </c>
      <c r="E4" s="19">
        <f>Assunzioni!B18</f>
        <v/>
      </c>
      <c r="F4" s="19">
        <f>Assunzioni!B19</f>
        <v/>
      </c>
    </row>
    <row r="5">
      <c r="A5" s="8" t="inlineStr">
        <is>
          <t>Ricavi gruppo</t>
        </is>
      </c>
      <c r="B5" s="31">
        <f>B4*Assunzioni!B9*Assunzioni!B12</f>
        <v/>
      </c>
      <c r="C5" s="31">
        <f>C4*Assunzioni!B9*Assunzioni!B12</f>
        <v/>
      </c>
      <c r="D5" s="31">
        <f>D4*Assunzioni!B9*Assunzioni!B12</f>
        <v/>
      </c>
      <c r="E5" s="31">
        <f>E4*Assunzioni!B9*Assunzioni!B12</f>
        <v/>
      </c>
      <c r="F5" s="31">
        <f>F4*Assunzioni!B9*Assunzioni!B12</f>
        <v/>
      </c>
    </row>
    <row r="6">
      <c r="A6" s="8" t="inlineStr">
        <is>
          <t>EBITDA sedi</t>
        </is>
      </c>
      <c r="B6" s="31">
        <f>B5*Assunzioni!B10</f>
        <v/>
      </c>
      <c r="C6" s="31">
        <f>C5*Assunzioni!B10</f>
        <v/>
      </c>
      <c r="D6" s="31">
        <f>D5*Assunzioni!B10</f>
        <v/>
      </c>
      <c r="E6" s="31">
        <f>E5*Assunzioni!B10</f>
        <v/>
      </c>
      <c r="F6" s="31">
        <f>F5*Assunzioni!B10</f>
        <v/>
      </c>
    </row>
    <row r="7">
      <c r="A7" s="8" t="inlineStr">
        <is>
          <t>Costo piattaforma centrale</t>
        </is>
      </c>
      <c r="B7" s="25">
        <f>-Assunzioni!B22</f>
        <v/>
      </c>
      <c r="C7" s="25">
        <f>-Assunzioni!B23</f>
        <v/>
      </c>
      <c r="D7" s="25">
        <f>-Assunzioni!B24</f>
        <v/>
      </c>
      <c r="E7" s="25">
        <f>-Assunzioni!B25</f>
        <v/>
      </c>
      <c r="F7" s="25">
        <f>-Assunzioni!B26</f>
        <v/>
      </c>
    </row>
    <row r="8">
      <c r="A8" s="5" t="inlineStr">
        <is>
          <t>EBITDA gruppo</t>
        </is>
      </c>
      <c r="B8" s="33">
        <f>B6+B7</f>
        <v/>
      </c>
      <c r="C8" s="33">
        <f>C6+C7</f>
        <v/>
      </c>
      <c r="D8" s="33">
        <f>D6+D7</f>
        <v/>
      </c>
      <c r="E8" s="33">
        <f>E6+E7</f>
        <v/>
      </c>
      <c r="F8" s="33">
        <f>F6+F7</f>
        <v/>
      </c>
    </row>
    <row r="9">
      <c r="A9" s="8" t="inlineStr">
        <is>
          <t>Margine EBITDA gruppo</t>
        </is>
      </c>
      <c r="B9" s="36">
        <f>IFERROR(B8/B5,0)</f>
        <v/>
      </c>
      <c r="C9" s="36">
        <f>IFERROR(C8/C5,0)</f>
        <v/>
      </c>
      <c r="D9" s="36">
        <f>IFERROR(D8/D5,0)</f>
        <v/>
      </c>
      <c r="E9" s="36">
        <f>IFERROR(E8/E5,0)</f>
        <v/>
      </c>
      <c r="F9" s="36">
        <f>IFERROR(F8/F5,0)</f>
        <v/>
      </c>
    </row>
    <row r="11">
      <c r="A11" s="3" t="inlineStr">
        <is>
          <t>EXIT (Anno 5)</t>
        </is>
      </c>
      <c r="B11" s="4" t="n"/>
      <c r="C11" s="4" t="n"/>
      <c r="D11" s="4" t="n"/>
      <c r="E11" s="4" t="n"/>
      <c r="F11" s="4" t="n"/>
    </row>
    <row r="12">
      <c r="A12" s="5" t="inlineStr">
        <is>
          <t>Enterprise Value all'exit (EBITDA A5 x multiplo)</t>
        </is>
      </c>
      <c r="B12" s="33">
        <f>F8*Assunzioni!B11</f>
        <v/>
      </c>
    </row>
    <row r="14">
      <c r="A14" s="3" t="inlineStr">
        <is>
          <t>CAP TABLE E RITORNI</t>
        </is>
      </c>
      <c r="B14" s="4" t="n"/>
      <c r="C14" s="4" t="n"/>
      <c r="D14" s="4" t="n"/>
      <c r="E14" s="4" t="n"/>
      <c r="F14" s="4" t="n"/>
    </row>
    <row r="15">
      <c r="A15" s="8" t="inlineStr"/>
      <c r="B15" s="21" t="inlineStr">
        <is>
          <t>% post-seed</t>
        </is>
      </c>
      <c r="C15" s="21" t="inlineStr">
        <is>
          <t>% post-scala</t>
        </is>
      </c>
      <c r="D15" s="21" t="inlineStr">
        <is>
          <t>Valore all'exit</t>
        </is>
      </c>
      <c r="E15" s="21" t="inlineStr">
        <is>
          <t>MOIC</t>
        </is>
      </c>
    </row>
    <row r="16">
      <c r="A16" s="8" t="inlineStr">
        <is>
          <t>Investitore seed (€500k)</t>
        </is>
      </c>
      <c r="B16" s="36">
        <f>Assunzioni!B29/Assunzioni!B30</f>
        <v/>
      </c>
      <c r="C16" s="36">
        <f>B16*(1-Assunzioni!B31/Assunzioni!B32-Assunzioni!B33)</f>
        <v/>
      </c>
      <c r="D16" s="31">
        <f>C16*B12</f>
        <v/>
      </c>
      <c r="E16" s="34">
        <f>D16/Assunzioni!B29</f>
        <v/>
      </c>
    </row>
    <row r="17">
      <c r="A17" s="8" t="inlineStr">
        <is>
          <t>Investitore round di scala</t>
        </is>
      </c>
      <c r="C17" s="36">
        <f>Assunzioni!B31/Assunzioni!B32</f>
        <v/>
      </c>
      <c r="D17" s="31">
        <f>C17*B12</f>
        <v/>
      </c>
      <c r="E17" s="34">
        <f>D17/Assunzioni!B31</f>
        <v/>
      </c>
    </row>
    <row r="18">
      <c r="A18" s="8" t="inlineStr">
        <is>
          <t>Pool ESOP (management + COO)</t>
        </is>
      </c>
      <c r="C18" s="36">
        <f>Assunzioni!B33</f>
        <v/>
      </c>
      <c r="D18" s="31">
        <f>C18*B12</f>
        <v/>
      </c>
    </row>
    <row r="19">
      <c r="A19" s="5" t="inlineStr">
        <is>
          <t>Fondatori (Luca, Diana, Marcello)</t>
        </is>
      </c>
      <c r="B19" s="36">
        <f>1-B16</f>
        <v/>
      </c>
      <c r="C19" s="37">
        <f>1-C16-C17-C18</f>
        <v/>
      </c>
      <c r="D19" s="33">
        <f>C19*B12</f>
        <v/>
      </c>
    </row>
    <row r="20">
      <c r="A20" s="2" t="inlineStr">
        <is>
          <t>Totale (check = 100%)</t>
        </is>
      </c>
      <c r="C20" s="38">
        <f>C16+C17+C18+C19</f>
        <v/>
      </c>
    </row>
    <row r="22">
      <c r="A22" s="2" t="inlineStr">
        <is>
          <t>Nota: valutazioni post-money e ESOP sono ipotesi (celle blu in Assunzioni). Il ritorno dei fondatori</t>
        </is>
      </c>
    </row>
    <row r="23">
      <c r="A23" s="2" t="inlineStr">
        <is>
          <t>e' al lordo della ripartizione interna (Luca 59,4 / Diana 22 / COO 12 / Marcello 6,6, rapporto 9:1).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2026-08-04T15:43:55Z</dcterms:created>
  <dcterms:modified xsi:type="dcterms:W3CDTF">2026-09-02T13:47:21Z</dcterms:modified>
</cp:coreProperties>
</file>