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Cruscotto" sheetId="2" state="visible" r:id="rId2"/>
    <sheet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B1F33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5B1F33"/>
      <sz val="22"/>
    </font>
  </fonts>
  <fills count="5">
    <fill>
      <patternFill/>
    </fill>
    <fill>
      <patternFill patternType="gray125"/>
    </fill>
    <fill>
      <patternFill patternType="solid">
        <fgColor rgb="005B1F33"/>
      </patternFill>
    </fill>
    <fill>
      <patternFill patternType="solid">
        <fgColor rgb="00FAF5F7"/>
      </patternFill>
    </fill>
    <fill>
      <patternFill patternType="solid">
        <fgColor rgb="00E7B4C6"/>
      </patternFill>
    </fill>
  </fills>
  <borders count="2">
    <border>
      <left/>
      <right/>
      <top/>
      <bottom/>
      <diagonal/>
    </border>
    <border>
      <left style="thin">
        <color rgb="00DDD0D6"/>
      </left>
      <right style="thin">
        <color rgb="00DDD0D6"/>
      </right>
      <top style="thin">
        <color rgb="00DDD0D6"/>
      </top>
      <bottom style="thin">
        <color rgb="00DDD0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6" customWidth="1" min="4" max="4"/>
    <col width="12" customWidth="1" min="5" max="5"/>
    <col width="20" customWidth="1" min="6" max="6"/>
    <col width="28" customWidth="1" min="7" max="7"/>
    <col width="22" customWidth="1" min="8" max="8"/>
    <col width="10" customWidth="1" min="9" max="9"/>
    <col width="13" customWidth="1" min="10" max="10"/>
    <col width="13" customWidth="1" min="11" max="11"/>
    <col width="30" customWidth="1" min="12" max="12"/>
    <col width="14" customWidth="1" min="13" max="13"/>
    <col width="34" customWidth="1" min="14" max="14"/>
    <col width="26" customWidth="1" min="15" max="15"/>
  </cols>
  <sheetData>
    <row r="1">
      <c r="A1" s="1" t="inlineStr">
        <is>
          <t>VENERE — Funnel dei centri estetici (dal sourcing alla LOI)</t>
        </is>
      </c>
    </row>
    <row r="2">
      <c r="A2" s="2" t="inlineStr">
        <is>
          <t>Aggiorna lo STATO a ogni contatto. Obiettivo: portare 3 centri fino a '6 · LOI firmata' → poi seed GKSD. Colonna STATO = menu a tendina.</t>
        </is>
      </c>
    </row>
    <row r="3">
      <c r="A3" s="3" t="inlineStr">
        <is>
          <t>ID</t>
        </is>
      </c>
      <c r="B3" s="3" t="inlineStr">
        <is>
          <t>Centro / insegna</t>
        </is>
      </c>
      <c r="C3" s="3" t="inlineStr">
        <is>
          <t>Zona</t>
        </is>
      </c>
      <c r="D3" s="3" t="inlineStr">
        <is>
          <t>Fonte</t>
        </is>
      </c>
      <c r="E3" s="3" t="inlineStr">
        <is>
          <t>Punteggio prescreen (0-5)</t>
        </is>
      </c>
      <c r="F3" s="3" t="inlineStr">
        <is>
          <t>Titolare (nome)</t>
        </is>
      </c>
      <c r="G3" s="3" t="inlineStr">
        <is>
          <t>Contatto (tel / email / LinkedIn)</t>
        </is>
      </c>
      <c r="H3" s="3" t="inlineStr">
        <is>
          <t>STATO</t>
        </is>
      </c>
      <c r="I3" s="3" t="inlineStr">
        <is>
          <t>Interesse (1-5)</t>
        </is>
      </c>
      <c r="J3" s="3" t="inlineStr">
        <is>
          <t>Data 1° contatto</t>
        </is>
      </c>
      <c r="K3" s="3" t="inlineStr">
        <is>
          <t>Data ultimo contatto</t>
        </is>
      </c>
      <c r="L3" s="3" t="inlineStr">
        <is>
          <t>Prossima azione</t>
        </is>
      </c>
      <c r="M3" s="3" t="inlineStr">
        <is>
          <t>Data prossima azione</t>
        </is>
      </c>
      <c r="N3" s="3" t="inlineStr">
        <is>
          <t>Note</t>
        </is>
      </c>
      <c r="O3" s="3" t="inlineStr">
        <is>
          <t>Esito / perso perché</t>
        </is>
      </c>
    </row>
    <row r="4">
      <c r="A4" s="4" t="inlineStr">
        <is>
          <t>T01</t>
        </is>
      </c>
      <c r="B4" s="5" t="inlineStr">
        <is>
          <t>Città Studi (multivetrina)</t>
        </is>
      </c>
      <c r="C4" s="4" t="inlineStr">
        <is>
          <t>Città Studi</t>
        </is>
      </c>
      <c r="D4" s="5" t="inlineStr">
        <is>
          <t>idealista/immobiliare</t>
        </is>
      </c>
      <c r="E4" s="4" t="n">
        <v>4.45</v>
      </c>
      <c r="F4" s="5" t="inlineStr"/>
      <c r="G4" s="5" t="inlineStr"/>
      <c r="H4" s="4" t="inlineStr">
        <is>
          <t>0 · Da contattare</t>
        </is>
      </c>
      <c r="I4" s="4" t="inlineStr"/>
      <c r="J4" s="4" t="inlineStr"/>
      <c r="K4" s="4" t="inlineStr"/>
      <c r="L4" s="5" t="inlineStr">
        <is>
          <t>Reperire contatto titolare + 1° messaggio</t>
        </is>
      </c>
      <c r="M4" s="4" t="inlineStr"/>
      <c r="N4" s="5" t="inlineStr">
        <is>
          <t>Ricavi 400k/anno, vende per pensione (venditore motivato). TOP.</t>
        </is>
      </c>
      <c r="O4" s="5" t="inlineStr"/>
    </row>
    <row r="5">
      <c r="A5" s="6" t="inlineStr">
        <is>
          <t>T02</t>
        </is>
      </c>
      <c r="B5" s="7" t="inlineStr">
        <is>
          <t>Corso Buenos Aires</t>
        </is>
      </c>
      <c r="C5" s="6" t="inlineStr">
        <is>
          <t>Centro / C.so Buenos Aires</t>
        </is>
      </c>
      <c r="D5" s="7" t="inlineStr">
        <is>
          <t>idealista/trovacasa</t>
        </is>
      </c>
      <c r="E5" s="6" t="n">
        <v>4.4</v>
      </c>
      <c r="F5" s="7" t="inlineStr"/>
      <c r="G5" s="7" t="inlineStr"/>
      <c r="H5" s="6" t="inlineStr">
        <is>
          <t>0 · Da contattare</t>
        </is>
      </c>
      <c r="I5" s="6" t="inlineStr"/>
      <c r="J5" s="6" t="inlineStr"/>
      <c r="K5" s="6" t="inlineStr"/>
      <c r="L5" s="7" t="inlineStr">
        <is>
          <t>Reperire contatto + 1° messaggio</t>
        </is>
      </c>
      <c r="M5" s="6" t="inlineStr"/>
      <c r="N5" s="7" t="inlineStr">
        <is>
          <t>110mq, bagno accessibile (ATS-friendly), zona altissimo passaggio.</t>
        </is>
      </c>
      <c r="O5" s="7" t="inlineStr"/>
    </row>
    <row r="6">
      <c r="A6" s="4" t="inlineStr">
        <is>
          <t>T03</t>
        </is>
      </c>
      <c r="B6" s="5" t="inlineStr">
        <is>
          <t>San Siro (due livelli)</t>
        </is>
      </c>
      <c r="C6" s="4" t="inlineStr">
        <is>
          <t>San Siro</t>
        </is>
      </c>
      <c r="D6" s="5" t="inlineStr">
        <is>
          <t>consultingitalia</t>
        </is>
      </c>
      <c r="E6" s="4" t="n">
        <v>4.15</v>
      </c>
      <c r="F6" s="5" t="inlineStr"/>
      <c r="G6" s="5" t="inlineStr"/>
      <c r="H6" s="4" t="inlineStr">
        <is>
          <t>0 · Da contattare</t>
        </is>
      </c>
      <c r="I6" s="4" t="inlineStr"/>
      <c r="J6" s="4" t="inlineStr"/>
      <c r="K6" s="4" t="inlineStr"/>
      <c r="L6" s="5" t="inlineStr">
        <is>
          <t>Reperire contatto + 1° messaggio</t>
        </is>
      </c>
      <c r="M6" s="4" t="inlineStr"/>
      <c r="N6" s="5" t="inlineStr">
        <is>
          <t>Due livelli = facile separare area medica. Canone 1.800/mese.</t>
        </is>
      </c>
      <c r="O6" s="5" t="inlineStr"/>
    </row>
    <row r="7">
      <c r="A7" s="6" t="inlineStr">
        <is>
          <t>T04</t>
        </is>
      </c>
      <c r="B7" s="7" t="inlineStr">
        <is>
          <t>Brera / Corso Garibaldi</t>
        </is>
      </c>
      <c r="C7" s="6" t="inlineStr">
        <is>
          <t>Brera</t>
        </is>
      </c>
      <c r="D7" s="7" t="inlineStr">
        <is>
          <t>idealista/immobiliare</t>
        </is>
      </c>
      <c r="E7" s="6" t="n">
        <v>4.1</v>
      </c>
      <c r="F7" s="7" t="inlineStr"/>
      <c r="G7" s="7" t="inlineStr"/>
      <c r="H7" s="6" t="inlineStr">
        <is>
          <t>0 · Da contattare</t>
        </is>
      </c>
      <c r="I7" s="6" t="inlineStr"/>
      <c r="J7" s="6" t="inlineStr"/>
      <c r="K7" s="6" t="inlineStr"/>
      <c r="L7" s="7" t="inlineStr">
        <is>
          <t>Reperire contatto + 1° messaggio</t>
        </is>
      </c>
      <c r="M7" s="6" t="inlineStr"/>
      <c r="N7" s="7" t="inlineStr">
        <is>
          <t>Attività ventennale (base fedele), già epilazione (laser-adjacent).</t>
        </is>
      </c>
      <c r="O7" s="7" t="inlineStr"/>
    </row>
    <row r="8">
      <c r="A8" s="4" t="inlineStr">
        <is>
          <t>T05</t>
        </is>
      </c>
      <c r="B8" s="5" t="inlineStr">
        <is>
          <t>Fiera / CityLife / Portello</t>
        </is>
      </c>
      <c r="C8" s="4" t="inlineStr">
        <is>
          <t>CityLife / Fiera</t>
        </is>
      </c>
      <c r="D8" s="5" t="inlineStr">
        <is>
          <t>immobiliare</t>
        </is>
      </c>
      <c r="E8" s="4" t="n">
        <v>3.95</v>
      </c>
      <c r="F8" s="5" t="inlineStr"/>
      <c r="G8" s="5" t="inlineStr"/>
      <c r="H8" s="4" t="inlineStr">
        <is>
          <t>0 · Da contattare</t>
        </is>
      </c>
      <c r="I8" s="4" t="inlineStr"/>
      <c r="J8" s="4" t="inlineStr"/>
      <c r="K8" s="4" t="inlineStr"/>
      <c r="L8" s="5" t="inlineStr">
        <is>
          <t>Reperire contatto + 1° messaggio</t>
        </is>
      </c>
      <c r="M8" s="4" t="inlineStr"/>
      <c r="N8" s="5" t="inlineStr">
        <is>
          <t>Zona alto reddito, struttura avviata. Prezzo da 250k (alto).</t>
        </is>
      </c>
      <c r="O8" s="5" t="inlineStr"/>
    </row>
    <row r="9">
      <c r="A9" s="6" t="inlineStr">
        <is>
          <t>T06</t>
        </is>
      </c>
      <c r="B9" s="7" t="inlineStr">
        <is>
          <t>Navigli / Viale Liguria</t>
        </is>
      </c>
      <c r="C9" s="6" t="inlineStr">
        <is>
          <t>Navigli</t>
        </is>
      </c>
      <c r="D9" s="7" t="inlineStr">
        <is>
          <t>immobiliare</t>
        </is>
      </c>
      <c r="E9" s="6" t="n">
        <v>3.85</v>
      </c>
      <c r="F9" s="7" t="inlineStr"/>
      <c r="G9" s="7" t="inlineStr"/>
      <c r="H9" s="6" t="inlineStr">
        <is>
          <t>0 · Da contattare</t>
        </is>
      </c>
      <c r="I9" s="6" t="inlineStr"/>
      <c r="J9" s="6" t="inlineStr"/>
      <c r="K9" s="6" t="inlineStr"/>
      <c r="L9" s="7" t="inlineStr">
        <is>
          <t>Reperire contatto + 1° messaggio</t>
        </is>
      </c>
      <c r="M9" s="6" t="inlineStr"/>
      <c r="N9" s="7" t="inlineStr">
        <is>
          <t>107mq piano terra, 3 stanze convertibili. Base clienti non nota.</t>
        </is>
      </c>
      <c r="O9" s="7" t="inlineStr"/>
    </row>
    <row r="10">
      <c r="A10" s="4" t="inlineStr">
        <is>
          <t>T07</t>
        </is>
      </c>
      <c r="B10" s="5" t="inlineStr">
        <is>
          <t>Porta Romana / Comelico</t>
        </is>
      </c>
      <c r="C10" s="4" t="inlineStr">
        <is>
          <t>Porta Romana</t>
        </is>
      </c>
      <c r="D10" s="5" t="inlineStr">
        <is>
          <t>immobiliare</t>
        </is>
      </c>
      <c r="E10" s="4" t="n">
        <v>3.85</v>
      </c>
      <c r="F10" s="5" t="inlineStr"/>
      <c r="G10" s="5" t="inlineStr"/>
      <c r="H10" s="4" t="inlineStr">
        <is>
          <t>0 · Da contattare</t>
        </is>
      </c>
      <c r="I10" s="4" t="inlineStr"/>
      <c r="J10" s="4" t="inlineStr"/>
      <c r="K10" s="4" t="inlineStr"/>
      <c r="L10" s="5" t="inlineStr">
        <is>
          <t>Reperire contatto + 1° messaggio</t>
        </is>
      </c>
      <c r="M10" s="4" t="inlineStr"/>
      <c r="N10" s="5" t="inlineStr">
        <is>
          <t>Avviata, excellent client package. Dimensione non nota.</t>
        </is>
      </c>
      <c r="O10" s="5" t="inlineStr"/>
    </row>
    <row r="11">
      <c r="A11" s="6" t="inlineStr">
        <is>
          <t>T08</t>
        </is>
      </c>
      <c r="B11" s="7" t="inlineStr">
        <is>
          <t>Ticinese / Navigli (piccolo)</t>
        </is>
      </c>
      <c r="C11" s="6" t="inlineStr">
        <is>
          <t>Ticinese</t>
        </is>
      </c>
      <c r="D11" s="7" t="inlineStr">
        <is>
          <t>idealista</t>
        </is>
      </c>
      <c r="E11" s="6" t="n">
        <v>2.5</v>
      </c>
      <c r="F11" s="7" t="inlineStr"/>
      <c r="G11" s="7" t="inlineStr"/>
      <c r="H11" s="6" t="inlineStr">
        <is>
          <t>Pausa</t>
        </is>
      </c>
      <c r="I11" s="6" t="inlineStr"/>
      <c r="J11" s="6" t="inlineStr"/>
      <c r="K11" s="6" t="inlineStr"/>
      <c r="L11" s="7" t="inlineStr">
        <is>
          <t>Ripescare solo se scarseggiano i target</t>
        </is>
      </c>
      <c r="M11" s="6" t="inlineStr"/>
      <c r="N11" s="7" t="inlineStr">
        <is>
          <t>40mq: probabilmente troppo piccolo per sala medica. Bassa priorità.</t>
        </is>
      </c>
      <c r="O11" s="7" t="inlineStr"/>
    </row>
    <row r="12">
      <c r="A12" s="4" t="inlineStr">
        <is>
          <t>T09</t>
        </is>
      </c>
      <c r="B12" s="5" t="inlineStr">
        <is>
          <t>Milano (micro-salon)</t>
        </is>
      </c>
      <c r="C12" s="4" t="inlineStr">
        <is>
          <t>Milano (generico)</t>
        </is>
      </c>
      <c r="D12" s="5" t="inlineStr">
        <is>
          <t>idealista/trovacasa</t>
        </is>
      </c>
      <c r="E12" s="4" t="n">
        <v>2.4</v>
      </c>
      <c r="F12" s="5" t="inlineStr"/>
      <c r="G12" s="5" t="inlineStr"/>
      <c r="H12" s="4" t="inlineStr">
        <is>
          <t>Pausa</t>
        </is>
      </c>
      <c r="I12" s="4" t="inlineStr"/>
      <c r="J12" s="4" t="inlineStr"/>
      <c r="K12" s="4" t="inlineStr"/>
      <c r="L12" s="5" t="inlineStr">
        <is>
          <t>Scartare salvo sorprese</t>
        </is>
      </c>
      <c r="M12" s="4" t="inlineStr"/>
      <c r="N12" s="5" t="inlineStr">
        <is>
          <t>~50mq micro-salon: poco footfall, spazio insufficiente.</t>
        </is>
      </c>
      <c r="O12" s="5" t="inlineStr"/>
    </row>
    <row r="13">
      <c r="A13" s="6" t="inlineStr">
        <is>
          <t>T10</t>
        </is>
      </c>
      <c r="B13" s="8" t="inlineStr">
        <is>
          <t>Corso Magenta (3 cabine + nails)</t>
        </is>
      </c>
      <c r="C13" s="9" t="inlineStr">
        <is>
          <t>Centro / C.so Magenta</t>
        </is>
      </c>
      <c r="D13" s="8" t="inlineStr">
        <is>
          <t>idealista/ReSystems</t>
        </is>
      </c>
      <c r="E13" s="9" t="n"/>
      <c r="F13" s="8" t="n"/>
      <c r="G13" s="8" t="n"/>
      <c r="H13" s="6" t="inlineStr">
        <is>
          <t>0 · Da contattare</t>
        </is>
      </c>
      <c r="I13" s="9" t="n"/>
      <c r="J13" s="9" t="n"/>
      <c r="K13" s="9" t="n"/>
      <c r="L13" s="8" t="inlineStr">
        <is>
          <t>Verificare mq (gate ambulatorio ~90mq) + reperire contatto</t>
        </is>
      </c>
      <c r="M13" s="9" t="n"/>
      <c r="N13" s="8" t="inlineStr">
        <is>
          <t>Zona elegante, alto passaggio. 3 cabine + 5 manicure + 4 pedicure. mq da verificare. Fonte: annuncio cessione.</t>
        </is>
      </c>
      <c r="O13" s="8" t="n"/>
    </row>
    <row r="14">
      <c r="A14" s="4" t="inlineStr">
        <is>
          <t>T11</t>
        </is>
      </c>
      <c r="B14" s="10" t="inlineStr">
        <is>
          <t>Via Salasco (elegante, causa pensione)</t>
        </is>
      </c>
      <c r="C14" s="11" t="inlineStr">
        <is>
          <t>Porta Romana / Bocconi</t>
        </is>
      </c>
      <c r="D14" s="10" t="inlineStr">
        <is>
          <t>annuncio/RE-MAX</t>
        </is>
      </c>
      <c r="E14" s="11" t="n"/>
      <c r="F14" s="10" t="n"/>
      <c r="G14" s="10" t="n"/>
      <c r="H14" s="4" t="inlineStr">
        <is>
          <t>0 · Da contattare</t>
        </is>
      </c>
      <c r="I14" s="11" t="n"/>
      <c r="J14" s="11" t="n"/>
      <c r="K14" s="11" t="n"/>
      <c r="L14" s="10" t="inlineStr">
        <is>
          <t>PRIORITARIO: reperire mq + contatto (venditore motivato)</t>
        </is>
      </c>
      <c r="M14" s="11" t="n"/>
      <c r="N14" s="10" t="inlineStr">
        <is>
          <t>Causa pensione, cede a ~€100k. Clientela storica, zona elegante (Bocconi/Porta Romana). Venditore motivato. Verificare mq (gate ambulatorio).</t>
        </is>
      </c>
      <c r="O14" s="10" t="n"/>
    </row>
    <row r="15">
      <c r="A15" s="6" t="inlineStr">
        <is>
          <t>T12</t>
        </is>
      </c>
      <c r="B15" s="8" t="inlineStr">
        <is>
          <t>Zona Bocconi (estetico + parrucchiere)</t>
        </is>
      </c>
      <c r="C15" s="9" t="inlineStr">
        <is>
          <t>Bocconi</t>
        </is>
      </c>
      <c r="D15" s="8" t="inlineStr">
        <is>
          <t>portale cessione</t>
        </is>
      </c>
      <c r="E15" s="9" t="n"/>
      <c r="F15" s="8" t="n"/>
      <c r="G15" s="8" t="n"/>
      <c r="H15" s="6" t="inlineStr">
        <is>
          <t>0 · Da contattare</t>
        </is>
      </c>
      <c r="I15" s="9" t="n"/>
      <c r="J15" s="9" t="n"/>
      <c r="K15" s="9" t="n"/>
      <c r="L15" s="8" t="inlineStr">
        <is>
          <t>Verificare frazionabilita in locali distinti + contatto</t>
        </is>
      </c>
      <c r="M15" s="9" t="n"/>
      <c r="N15" s="8" t="inlineStr">
        <is>
          <t>~100 mq, alto passaggio (universita). Verificare se frazionabile per ambulatorio.</t>
        </is>
      </c>
      <c r="O15" s="8" t="n"/>
    </row>
    <row r="16">
      <c r="A16" s="4" t="inlineStr">
        <is>
          <t>T13</t>
        </is>
      </c>
      <c r="B16" s="10" t="inlineStr">
        <is>
          <t>Zona Brenta/Lodi (storico)</t>
        </is>
      </c>
      <c r="C16" s="11" t="inlineStr">
        <is>
          <t>Lodi / Brenta (M3)</t>
        </is>
      </c>
      <c r="D16" s="10" t="inlineStr">
        <is>
          <t>annuncio</t>
        </is>
      </c>
      <c r="E16" s="11" t="n"/>
      <c r="F16" s="10" t="n"/>
      <c r="G16" s="10" t="n"/>
      <c r="H16" s="4" t="inlineStr">
        <is>
          <t>0 · Da contattare</t>
        </is>
      </c>
      <c r="I16" s="11" t="n"/>
      <c r="J16" s="11" t="n"/>
      <c r="K16" s="11" t="n"/>
      <c r="L16" s="10" t="inlineStr">
        <is>
          <t>Verificare mq + bacino + contatto</t>
        </is>
      </c>
      <c r="M16" s="11" t="n"/>
      <c r="N16" s="10" t="inlineStr">
        <is>
          <t>Centro estetico storico, clientela fidelizzata, vicino M3 Brenta. Bacino medio. Verificare dimensione.</t>
        </is>
      </c>
      <c r="O16" s="10" t="n"/>
    </row>
    <row r="17">
      <c r="A17" s="6" t="inlineStr">
        <is>
          <t>T14</t>
        </is>
      </c>
      <c r="B17" s="8" t="n"/>
      <c r="C17" s="9" t="n"/>
      <c r="D17" s="8" t="n"/>
      <c r="E17" s="9" t="n"/>
      <c r="F17" s="8" t="n"/>
      <c r="G17" s="8" t="n"/>
      <c r="H17" s="6" t="inlineStr">
        <is>
          <t>0 · Da contattare</t>
        </is>
      </c>
      <c r="I17" s="9" t="n"/>
      <c r="J17" s="9" t="n"/>
      <c r="K17" s="9" t="n"/>
      <c r="L17" s="8" t="n"/>
      <c r="M17" s="9" t="n"/>
      <c r="N17" s="8" t="n"/>
      <c r="O17" s="8" t="n"/>
    </row>
    <row r="18">
      <c r="A18" s="4" t="inlineStr">
        <is>
          <t>T15</t>
        </is>
      </c>
      <c r="B18" s="10" t="n"/>
      <c r="C18" s="11" t="n"/>
      <c r="D18" s="10" t="n"/>
      <c r="E18" s="11" t="n"/>
      <c r="F18" s="10" t="n"/>
      <c r="G18" s="10" t="n"/>
      <c r="H18" s="4" t="inlineStr">
        <is>
          <t>0 · Da contattare</t>
        </is>
      </c>
      <c r="I18" s="11" t="n"/>
      <c r="J18" s="11" t="n"/>
      <c r="K18" s="11" t="n"/>
      <c r="L18" s="10" t="n"/>
      <c r="M18" s="11" t="n"/>
      <c r="N18" s="10" t="n"/>
      <c r="O18" s="10" t="n"/>
    </row>
    <row r="19">
      <c r="A19" s="6" t="inlineStr">
        <is>
          <t>T16</t>
        </is>
      </c>
      <c r="B19" s="8" t="n"/>
      <c r="C19" s="9" t="n"/>
      <c r="D19" s="8" t="n"/>
      <c r="E19" s="9" t="n"/>
      <c r="F19" s="8" t="n"/>
      <c r="G19" s="8" t="n"/>
      <c r="H19" s="6" t="inlineStr">
        <is>
          <t>0 · Da contattare</t>
        </is>
      </c>
      <c r="I19" s="9" t="n"/>
      <c r="J19" s="9" t="n"/>
      <c r="K19" s="9" t="n"/>
      <c r="L19" s="8" t="n"/>
      <c r="M19" s="9" t="n"/>
      <c r="N19" s="8" t="n"/>
      <c r="O19" s="8" t="n"/>
    </row>
    <row r="20">
      <c r="A20" s="4" t="inlineStr">
        <is>
          <t>T17</t>
        </is>
      </c>
      <c r="B20" s="10" t="n"/>
      <c r="C20" s="11" t="n"/>
      <c r="D20" s="10" t="n"/>
      <c r="E20" s="11" t="n"/>
      <c r="F20" s="10" t="n"/>
      <c r="G20" s="10" t="n"/>
      <c r="H20" s="4" t="inlineStr">
        <is>
          <t>0 · Da contattare</t>
        </is>
      </c>
      <c r="I20" s="11" t="n"/>
      <c r="J20" s="11" t="n"/>
      <c r="K20" s="11" t="n"/>
      <c r="L20" s="10" t="n"/>
      <c r="M20" s="11" t="n"/>
      <c r="N20" s="10" t="n"/>
      <c r="O20" s="10" t="n"/>
    </row>
    <row r="21">
      <c r="A21" s="6" t="inlineStr">
        <is>
          <t>T18</t>
        </is>
      </c>
      <c r="B21" s="8" t="n"/>
      <c r="C21" s="9" t="n"/>
      <c r="D21" s="8" t="n"/>
      <c r="E21" s="9" t="n"/>
      <c r="F21" s="8" t="n"/>
      <c r="G21" s="8" t="n"/>
      <c r="H21" s="6" t="inlineStr">
        <is>
          <t>0 · Da contattare</t>
        </is>
      </c>
      <c r="I21" s="9" t="n"/>
      <c r="J21" s="9" t="n"/>
      <c r="K21" s="9" t="n"/>
      <c r="L21" s="8" t="n"/>
      <c r="M21" s="9" t="n"/>
      <c r="N21" s="8" t="n"/>
      <c r="O21" s="8" t="n"/>
    </row>
    <row r="22">
      <c r="A22" s="4" t="inlineStr">
        <is>
          <t>T19</t>
        </is>
      </c>
      <c r="B22" s="10" t="n"/>
      <c r="C22" s="11" t="n"/>
      <c r="D22" s="10" t="n"/>
      <c r="E22" s="11" t="n"/>
      <c r="F22" s="10" t="n"/>
      <c r="G22" s="10" t="n"/>
      <c r="H22" s="4" t="inlineStr">
        <is>
          <t>0 · Da contattare</t>
        </is>
      </c>
      <c r="I22" s="11" t="n"/>
      <c r="J22" s="11" t="n"/>
      <c r="K22" s="11" t="n"/>
      <c r="L22" s="10" t="n"/>
      <c r="M22" s="11" t="n"/>
      <c r="N22" s="10" t="n"/>
      <c r="O22" s="10" t="n"/>
    </row>
    <row r="23">
      <c r="A23" s="6" t="inlineStr">
        <is>
          <t>T20</t>
        </is>
      </c>
      <c r="B23" s="8" t="n"/>
      <c r="C23" s="9" t="n"/>
      <c r="D23" s="8" t="n"/>
      <c r="E23" s="9" t="n"/>
      <c r="F23" s="8" t="n"/>
      <c r="G23" s="8" t="n"/>
      <c r="H23" s="6" t="inlineStr">
        <is>
          <t>0 · Da contattare</t>
        </is>
      </c>
      <c r="I23" s="9" t="n"/>
      <c r="J23" s="9" t="n"/>
      <c r="K23" s="9" t="n"/>
      <c r="L23" s="8" t="n"/>
      <c r="M23" s="9" t="n"/>
      <c r="N23" s="8" t="n"/>
      <c r="O23" s="8" t="n"/>
    </row>
    <row r="24">
      <c r="A24" s="4" t="inlineStr">
        <is>
          <t>T21</t>
        </is>
      </c>
      <c r="B24" s="10" t="n"/>
      <c r="C24" s="11" t="n"/>
      <c r="D24" s="10" t="n"/>
      <c r="E24" s="11" t="n"/>
      <c r="F24" s="10" t="n"/>
      <c r="G24" s="10" t="n"/>
      <c r="H24" s="4" t="inlineStr">
        <is>
          <t>0 · Da contattare</t>
        </is>
      </c>
      <c r="I24" s="11" t="n"/>
      <c r="J24" s="11" t="n"/>
      <c r="K24" s="11" t="n"/>
      <c r="L24" s="10" t="n"/>
      <c r="M24" s="11" t="n"/>
      <c r="N24" s="10" t="n"/>
      <c r="O24" s="10" t="n"/>
    </row>
    <row r="25">
      <c r="A25" s="6" t="inlineStr">
        <is>
          <t>T22</t>
        </is>
      </c>
      <c r="B25" s="8" t="n"/>
      <c r="C25" s="9" t="n"/>
      <c r="D25" s="8" t="n"/>
      <c r="E25" s="9" t="n"/>
      <c r="F25" s="8" t="n"/>
      <c r="G25" s="8" t="n"/>
      <c r="H25" s="6" t="inlineStr">
        <is>
          <t>0 · Da contattare</t>
        </is>
      </c>
      <c r="I25" s="9" t="n"/>
      <c r="J25" s="9" t="n"/>
      <c r="K25" s="9" t="n"/>
      <c r="L25" s="8" t="n"/>
      <c r="M25" s="9" t="n"/>
      <c r="N25" s="8" t="n"/>
      <c r="O25" s="8" t="n"/>
    </row>
    <row r="26">
      <c r="A26" s="4" t="inlineStr">
        <is>
          <t>T23</t>
        </is>
      </c>
      <c r="B26" s="10" t="n"/>
      <c r="C26" s="11" t="n"/>
      <c r="D26" s="10" t="n"/>
      <c r="E26" s="11" t="n"/>
      <c r="F26" s="10" t="n"/>
      <c r="G26" s="10" t="n"/>
      <c r="H26" s="4" t="inlineStr">
        <is>
          <t>0 · Da contattare</t>
        </is>
      </c>
      <c r="I26" s="11" t="n"/>
      <c r="J26" s="11" t="n"/>
      <c r="K26" s="11" t="n"/>
      <c r="L26" s="10" t="n"/>
      <c r="M26" s="11" t="n"/>
      <c r="N26" s="10" t="n"/>
      <c r="O26" s="10" t="n"/>
    </row>
    <row r="27">
      <c r="A27" s="6" t="inlineStr">
        <is>
          <t>T24</t>
        </is>
      </c>
      <c r="B27" s="8" t="n"/>
      <c r="C27" s="9" t="n"/>
      <c r="D27" s="8" t="n"/>
      <c r="E27" s="9" t="n"/>
      <c r="F27" s="8" t="n"/>
      <c r="G27" s="8" t="n"/>
      <c r="H27" s="6" t="inlineStr">
        <is>
          <t>0 · Da contattare</t>
        </is>
      </c>
      <c r="I27" s="9" t="n"/>
      <c r="J27" s="9" t="n"/>
      <c r="K27" s="9" t="n"/>
      <c r="L27" s="8" t="n"/>
      <c r="M27" s="9" t="n"/>
      <c r="N27" s="8" t="n"/>
      <c r="O27" s="8" t="n"/>
    </row>
    <row r="28">
      <c r="A28" s="4" t="inlineStr">
        <is>
          <t>T25</t>
        </is>
      </c>
      <c r="B28" s="10" t="n"/>
      <c r="C28" s="11" t="n"/>
      <c r="D28" s="10" t="n"/>
      <c r="E28" s="11" t="n"/>
      <c r="F28" s="10" t="n"/>
      <c r="G28" s="10" t="n"/>
      <c r="H28" s="4" t="inlineStr">
        <is>
          <t>0 · Da contattare</t>
        </is>
      </c>
      <c r="I28" s="11" t="n"/>
      <c r="J28" s="11" t="n"/>
      <c r="K28" s="11" t="n"/>
      <c r="L28" s="10" t="n"/>
      <c r="M28" s="11" t="n"/>
      <c r="N28" s="10" t="n"/>
      <c r="O28" s="10" t="n"/>
    </row>
    <row r="29">
      <c r="A29" s="6" t="inlineStr">
        <is>
          <t>T26</t>
        </is>
      </c>
      <c r="B29" s="8" t="n"/>
      <c r="C29" s="9" t="n"/>
      <c r="D29" s="8" t="n"/>
      <c r="E29" s="9" t="n"/>
      <c r="F29" s="8" t="n"/>
      <c r="G29" s="8" t="n"/>
      <c r="H29" s="6" t="inlineStr">
        <is>
          <t>0 · Da contattare</t>
        </is>
      </c>
      <c r="I29" s="9" t="n"/>
      <c r="J29" s="9" t="n"/>
      <c r="K29" s="9" t="n"/>
      <c r="L29" s="8" t="n"/>
      <c r="M29" s="9" t="n"/>
      <c r="N29" s="8" t="n"/>
      <c r="O29" s="8" t="n"/>
    </row>
    <row r="30">
      <c r="A30" s="4" t="inlineStr">
        <is>
          <t>T27</t>
        </is>
      </c>
      <c r="B30" s="10" t="n"/>
      <c r="C30" s="11" t="n"/>
      <c r="D30" s="10" t="n"/>
      <c r="E30" s="11" t="n"/>
      <c r="F30" s="10" t="n"/>
      <c r="G30" s="10" t="n"/>
      <c r="H30" s="4" t="inlineStr">
        <is>
          <t>0 · Da contattare</t>
        </is>
      </c>
      <c r="I30" s="11" t="n"/>
      <c r="J30" s="11" t="n"/>
      <c r="K30" s="11" t="n"/>
      <c r="L30" s="10" t="n"/>
      <c r="M30" s="11" t="n"/>
      <c r="N30" s="10" t="n"/>
      <c r="O30" s="10" t="n"/>
    </row>
    <row r="31">
      <c r="A31" s="6" t="inlineStr">
        <is>
          <t>T28</t>
        </is>
      </c>
      <c r="B31" s="8" t="n"/>
      <c r="C31" s="9" t="n"/>
      <c r="D31" s="8" t="n"/>
      <c r="E31" s="9" t="n"/>
      <c r="F31" s="8" t="n"/>
      <c r="G31" s="8" t="n"/>
      <c r="H31" s="6" t="inlineStr">
        <is>
          <t>0 · Da contattare</t>
        </is>
      </c>
      <c r="I31" s="9" t="n"/>
      <c r="J31" s="9" t="n"/>
      <c r="K31" s="9" t="n"/>
      <c r="L31" s="8" t="n"/>
      <c r="M31" s="9" t="n"/>
      <c r="N31" s="8" t="n"/>
      <c r="O31" s="8" t="n"/>
    </row>
    <row r="32">
      <c r="A32" s="4" t="inlineStr">
        <is>
          <t>T29</t>
        </is>
      </c>
      <c r="B32" s="10" t="n"/>
      <c r="C32" s="11" t="n"/>
      <c r="D32" s="10" t="n"/>
      <c r="E32" s="11" t="n"/>
      <c r="F32" s="10" t="n"/>
      <c r="G32" s="10" t="n"/>
      <c r="H32" s="4" t="inlineStr">
        <is>
          <t>0 · Da contattare</t>
        </is>
      </c>
      <c r="I32" s="11" t="n"/>
      <c r="J32" s="11" t="n"/>
      <c r="K32" s="11" t="n"/>
      <c r="L32" s="10" t="n"/>
      <c r="M32" s="11" t="n"/>
      <c r="N32" s="10" t="n"/>
      <c r="O32" s="10" t="n"/>
    </row>
    <row r="33">
      <c r="A33" s="6" t="inlineStr">
        <is>
          <t>T30</t>
        </is>
      </c>
      <c r="B33" s="8" t="n"/>
      <c r="C33" s="9" t="n"/>
      <c r="D33" s="8" t="n"/>
      <c r="E33" s="9" t="n"/>
      <c r="F33" s="8" t="n"/>
      <c r="G33" s="8" t="n"/>
      <c r="H33" s="6" t="inlineStr">
        <is>
          <t>0 · Da contattare</t>
        </is>
      </c>
      <c r="I33" s="9" t="n"/>
      <c r="J33" s="9" t="n"/>
      <c r="K33" s="9" t="n"/>
      <c r="L33" s="8" t="n"/>
      <c r="M33" s="9" t="n"/>
      <c r="N33" s="8" t="n"/>
      <c r="O33" s="8" t="n"/>
    </row>
    <row r="34">
      <c r="A34" s="4" t="inlineStr">
        <is>
          <t>T31</t>
        </is>
      </c>
      <c r="B34" s="10" t="n"/>
      <c r="C34" s="11" t="n"/>
      <c r="D34" s="10" t="n"/>
      <c r="E34" s="11" t="n"/>
      <c r="F34" s="10" t="n"/>
      <c r="G34" s="10" t="n"/>
      <c r="H34" s="4" t="inlineStr">
        <is>
          <t>0 · Da contattare</t>
        </is>
      </c>
      <c r="I34" s="11" t="n"/>
      <c r="J34" s="11" t="n"/>
      <c r="K34" s="11" t="n"/>
      <c r="L34" s="10" t="n"/>
      <c r="M34" s="11" t="n"/>
      <c r="N34" s="10" t="n"/>
      <c r="O34" s="10" t="n"/>
    </row>
    <row r="35">
      <c r="A35" s="6" t="inlineStr">
        <is>
          <t>T32</t>
        </is>
      </c>
      <c r="B35" s="8" t="n"/>
      <c r="C35" s="9" t="n"/>
      <c r="D35" s="8" t="n"/>
      <c r="E35" s="9" t="n"/>
      <c r="F35" s="8" t="n"/>
      <c r="G35" s="8" t="n"/>
      <c r="H35" s="6" t="inlineStr">
        <is>
          <t>0 · Da contattare</t>
        </is>
      </c>
      <c r="I35" s="9" t="n"/>
      <c r="J35" s="9" t="n"/>
      <c r="K35" s="9" t="n"/>
      <c r="L35" s="8" t="n"/>
      <c r="M35" s="9" t="n"/>
      <c r="N35" s="8" t="n"/>
      <c r="O35" s="8" t="n"/>
    </row>
    <row r="36">
      <c r="A36" s="4" t="inlineStr">
        <is>
          <t>T33</t>
        </is>
      </c>
      <c r="B36" s="10" t="n"/>
      <c r="C36" s="11" t="n"/>
      <c r="D36" s="10" t="n"/>
      <c r="E36" s="11" t="n"/>
      <c r="F36" s="10" t="n"/>
      <c r="G36" s="10" t="n"/>
      <c r="H36" s="4" t="inlineStr">
        <is>
          <t>0 · Da contattare</t>
        </is>
      </c>
      <c r="I36" s="11" t="n"/>
      <c r="J36" s="11" t="n"/>
      <c r="K36" s="11" t="n"/>
      <c r="L36" s="10" t="n"/>
      <c r="M36" s="11" t="n"/>
      <c r="N36" s="10" t="n"/>
      <c r="O36" s="10" t="n"/>
    </row>
    <row r="37">
      <c r="A37" s="6" t="inlineStr">
        <is>
          <t>T34</t>
        </is>
      </c>
      <c r="B37" s="8" t="n"/>
      <c r="C37" s="9" t="n"/>
      <c r="D37" s="8" t="n"/>
      <c r="E37" s="9" t="n"/>
      <c r="F37" s="8" t="n"/>
      <c r="G37" s="8" t="n"/>
      <c r="H37" s="6" t="inlineStr">
        <is>
          <t>0 · Da contattare</t>
        </is>
      </c>
      <c r="I37" s="9" t="n"/>
      <c r="J37" s="9" t="n"/>
      <c r="K37" s="9" t="n"/>
      <c r="L37" s="8" t="n"/>
      <c r="M37" s="9" t="n"/>
      <c r="N37" s="8" t="n"/>
      <c r="O37" s="8" t="n"/>
    </row>
    <row r="38">
      <c r="A38" s="4" t="inlineStr">
        <is>
          <t>T35</t>
        </is>
      </c>
      <c r="B38" s="10" t="n"/>
      <c r="C38" s="11" t="n"/>
      <c r="D38" s="10" t="n"/>
      <c r="E38" s="11" t="n"/>
      <c r="F38" s="10" t="n"/>
      <c r="G38" s="10" t="n"/>
      <c r="H38" s="4" t="inlineStr">
        <is>
          <t>0 · Da contattare</t>
        </is>
      </c>
      <c r="I38" s="11" t="n"/>
      <c r="J38" s="11" t="n"/>
      <c r="K38" s="11" t="n"/>
      <c r="L38" s="10" t="n"/>
      <c r="M38" s="11" t="n"/>
      <c r="N38" s="10" t="n"/>
      <c r="O38" s="10" t="n"/>
    </row>
    <row r="39">
      <c r="A39" s="6" t="inlineStr">
        <is>
          <t>T36</t>
        </is>
      </c>
      <c r="B39" s="8" t="n"/>
      <c r="C39" s="9" t="n"/>
      <c r="D39" s="8" t="n"/>
      <c r="E39" s="9" t="n"/>
      <c r="F39" s="8" t="n"/>
      <c r="G39" s="8" t="n"/>
      <c r="H39" s="6" t="inlineStr">
        <is>
          <t>0 · Da contattare</t>
        </is>
      </c>
      <c r="I39" s="9" t="n"/>
      <c r="J39" s="9" t="n"/>
      <c r="K39" s="9" t="n"/>
      <c r="L39" s="8" t="n"/>
      <c r="M39" s="9" t="n"/>
      <c r="N39" s="8" t="n"/>
      <c r="O39" s="8" t="n"/>
    </row>
    <row r="40">
      <c r="A40" s="4" t="inlineStr">
        <is>
          <t>T37</t>
        </is>
      </c>
      <c r="B40" s="10" t="n"/>
      <c r="C40" s="11" t="n"/>
      <c r="D40" s="10" t="n"/>
      <c r="E40" s="11" t="n"/>
      <c r="F40" s="10" t="n"/>
      <c r="G40" s="10" t="n"/>
      <c r="H40" s="4" t="inlineStr">
        <is>
          <t>0 · Da contattare</t>
        </is>
      </c>
      <c r="I40" s="11" t="n"/>
      <c r="J40" s="11" t="n"/>
      <c r="K40" s="11" t="n"/>
      <c r="L40" s="10" t="n"/>
      <c r="M40" s="11" t="n"/>
      <c r="N40" s="10" t="n"/>
      <c r="O40" s="10" t="n"/>
    </row>
    <row r="41">
      <c r="A41" s="6" t="inlineStr">
        <is>
          <t>T38</t>
        </is>
      </c>
      <c r="B41" s="8" t="n"/>
      <c r="C41" s="9" t="n"/>
      <c r="D41" s="8" t="n"/>
      <c r="E41" s="9" t="n"/>
      <c r="F41" s="8" t="n"/>
      <c r="G41" s="8" t="n"/>
      <c r="H41" s="6" t="inlineStr">
        <is>
          <t>0 · Da contattare</t>
        </is>
      </c>
      <c r="I41" s="9" t="n"/>
      <c r="J41" s="9" t="n"/>
      <c r="K41" s="9" t="n"/>
      <c r="L41" s="8" t="n"/>
      <c r="M41" s="9" t="n"/>
      <c r="N41" s="8" t="n"/>
      <c r="O41" s="8" t="n"/>
    </row>
    <row r="42">
      <c r="A42" s="4" t="inlineStr">
        <is>
          <t>T39</t>
        </is>
      </c>
      <c r="B42" s="10" t="n"/>
      <c r="C42" s="11" t="n"/>
      <c r="D42" s="10" t="n"/>
      <c r="E42" s="11" t="n"/>
      <c r="F42" s="10" t="n"/>
      <c r="G42" s="10" t="n"/>
      <c r="H42" s="4" t="inlineStr">
        <is>
          <t>0 · Da contattare</t>
        </is>
      </c>
      <c r="I42" s="11" t="n"/>
      <c r="J42" s="11" t="n"/>
      <c r="K42" s="11" t="n"/>
      <c r="L42" s="10" t="n"/>
      <c r="M42" s="11" t="n"/>
      <c r="N42" s="10" t="n"/>
      <c r="O42" s="10" t="n"/>
    </row>
    <row r="43">
      <c r="A43" s="6" t="inlineStr">
        <is>
          <t>T40</t>
        </is>
      </c>
      <c r="B43" s="8" t="n"/>
      <c r="C43" s="9" t="n"/>
      <c r="D43" s="8" t="n"/>
      <c r="E43" s="9" t="n"/>
      <c r="F43" s="8" t="n"/>
      <c r="G43" s="8" t="n"/>
      <c r="H43" s="6" t="inlineStr">
        <is>
          <t>0 · Da contattare</t>
        </is>
      </c>
      <c r="I43" s="9" t="n"/>
      <c r="J43" s="9" t="n"/>
      <c r="K43" s="9" t="n"/>
      <c r="L43" s="8" t="n"/>
      <c r="M43" s="9" t="n"/>
      <c r="N43" s="8" t="n"/>
      <c r="O43" s="8" t="n"/>
    </row>
    <row r="44">
      <c r="A44" s="4" t="inlineStr">
        <is>
          <t>T41</t>
        </is>
      </c>
      <c r="B44" s="10" t="n"/>
      <c r="C44" s="11" t="n"/>
      <c r="D44" s="10" t="n"/>
      <c r="E44" s="11" t="n"/>
      <c r="F44" s="10" t="n"/>
      <c r="G44" s="10" t="n"/>
      <c r="H44" s="4" t="inlineStr">
        <is>
          <t>0 · Da contattare</t>
        </is>
      </c>
      <c r="I44" s="11" t="n"/>
      <c r="J44" s="11" t="n"/>
      <c r="K44" s="11" t="n"/>
      <c r="L44" s="10" t="n"/>
      <c r="M44" s="11" t="n"/>
      <c r="N44" s="10" t="n"/>
      <c r="O44" s="10" t="n"/>
    </row>
    <row r="45">
      <c r="A45" s="6" t="inlineStr">
        <is>
          <t>T42</t>
        </is>
      </c>
      <c r="B45" s="8" t="n"/>
      <c r="C45" s="9" t="n"/>
      <c r="D45" s="8" t="n"/>
      <c r="E45" s="9" t="n"/>
      <c r="F45" s="8" t="n"/>
      <c r="G45" s="8" t="n"/>
      <c r="H45" s="6" t="inlineStr">
        <is>
          <t>0 · Da contattare</t>
        </is>
      </c>
      <c r="I45" s="9" t="n"/>
      <c r="J45" s="9" t="n"/>
      <c r="K45" s="9" t="n"/>
      <c r="L45" s="8" t="n"/>
      <c r="M45" s="9" t="n"/>
      <c r="N45" s="8" t="n"/>
      <c r="O45" s="8" t="n"/>
    </row>
  </sheetData>
  <dataValidations count="2">
    <dataValidation sqref="H4:H60" showDropDown="0" showInputMessage="0" showErrorMessage="0" allowBlank="1" type="list">
      <formula1>"0 · Da contattare,1 · Contattato,2 · Interesse iniziale,3 · Call fatta,4 · Sopralluogo/qualifica,5 · Interessato (deal),6 · LOI firmata,X · Perso,Pausa"</formula1>
    </dataValidation>
    <dataValidation sqref="I4:I6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40" customWidth="1" min="4" max="4"/>
  </cols>
  <sheetData>
    <row r="1">
      <c r="A1" s="1" t="inlineStr">
        <is>
          <t>VENERE — Cruscotto del funnel</t>
        </is>
      </c>
    </row>
    <row r="2">
      <c r="A2" s="2" t="inlineStr">
        <is>
          <t>Conteggi in tempo reale dallo STATO della Pipeline. Target: 3 LOI per aprire il seed.</t>
        </is>
      </c>
    </row>
    <row r="4">
      <c r="A4" s="12" t="inlineStr">
        <is>
          <t>Centri identificati (righe con insegna)</t>
        </is>
      </c>
      <c r="B4" s="13">
        <f>COUNTA(Pipeline!B4:B60)</f>
        <v/>
      </c>
    </row>
    <row r="5">
      <c r="A5" s="12" t="inlineStr">
        <is>
          <t>LOI firmate (obiettivo: 3)</t>
        </is>
      </c>
      <c r="B5" s="13">
        <f>COUNTIF(Pipeline!H4:H60,"6 · LOI firmata")</f>
        <v/>
      </c>
    </row>
    <row r="7">
      <c r="A7" s="12" t="inlineStr">
        <is>
          <t>Imbuto per stadio</t>
        </is>
      </c>
      <c r="B7" s="12" t="inlineStr">
        <is>
          <t>Attuali</t>
        </is>
      </c>
      <c r="C7" s="12" t="inlineStr">
        <is>
          <t>Target</t>
        </is>
      </c>
      <c r="D7" s="12" t="inlineStr"/>
    </row>
    <row r="8">
      <c r="A8" s="14" t="inlineStr">
        <is>
          <t>Identificati</t>
        </is>
      </c>
      <c r="B8" s="15">
        <f>COUNTA(Pipeline!B4:B60)</f>
        <v/>
      </c>
      <c r="C8" s="16" t="inlineStr">
        <is>
          <t>~40</t>
        </is>
      </c>
      <c r="D8" s="17" t="inlineStr">
        <is>
          <t>← quando qui arrivi a 3, apri il seed con GKSD</t>
        </is>
      </c>
    </row>
    <row r="9">
      <c r="A9" s="18" t="inlineStr">
        <is>
          <t>0 · Da contattare</t>
        </is>
      </c>
      <c r="B9" s="19">
        <f>COUNTIF(Pipeline!H4:H60,"0 · Da contattare")</f>
        <v/>
      </c>
      <c r="C9" s="20" t="inlineStr"/>
    </row>
    <row r="10">
      <c r="A10" s="14" t="inlineStr">
        <is>
          <t>1 · Contattato</t>
        </is>
      </c>
      <c r="B10" s="15">
        <f>COUNTIF(Pipeline!H4:H60,"1 · Contattato")</f>
        <v/>
      </c>
      <c r="C10" s="16" t="inlineStr">
        <is>
          <t>~30</t>
        </is>
      </c>
    </row>
    <row r="11">
      <c r="A11" s="18" t="inlineStr">
        <is>
          <t>2 · Interesse iniziale</t>
        </is>
      </c>
      <c r="B11" s="19">
        <f>COUNTIF(Pipeline!H4:H60,"2 · Interesse iniziale")</f>
        <v/>
      </c>
      <c r="C11" s="20" t="inlineStr"/>
    </row>
    <row r="12">
      <c r="A12" s="14" t="inlineStr">
        <is>
          <t>3 · Call fatta</t>
        </is>
      </c>
      <c r="B12" s="15">
        <f>COUNTIF(Pipeline!H4:H60,"3 · Call fatta")</f>
        <v/>
      </c>
      <c r="C12" s="16" t="inlineStr">
        <is>
          <t>~15</t>
        </is>
      </c>
    </row>
    <row r="13">
      <c r="A13" s="18" t="inlineStr">
        <is>
          <t>4 · Sopralluogo/qualifica</t>
        </is>
      </c>
      <c r="B13" s="19">
        <f>COUNTIF(Pipeline!H4:H60,"4 · Sopralluogo/qualifica")</f>
        <v/>
      </c>
      <c r="C13" s="20" t="inlineStr">
        <is>
          <t>~8</t>
        </is>
      </c>
    </row>
    <row r="14">
      <c r="A14" s="14" t="inlineStr">
        <is>
          <t>5 · Interessato (deal)</t>
        </is>
      </c>
      <c r="B14" s="15">
        <f>COUNTIF(Pipeline!H4:H60,"5 · Interessato (deal)")</f>
        <v/>
      </c>
      <c r="C14" s="16" t="inlineStr"/>
    </row>
    <row r="15">
      <c r="A15" s="18" t="inlineStr">
        <is>
          <t>6 · LOI firmata</t>
        </is>
      </c>
      <c r="B15" s="19">
        <f>COUNTIF(Pipeline!H4:H60,"6 · LOI firmata")</f>
        <v/>
      </c>
      <c r="C15" s="20" t="inlineStr">
        <is>
          <t>3</t>
        </is>
      </c>
    </row>
    <row r="16">
      <c r="A16" s="14" t="inlineStr">
        <is>
          <t>X · Perso</t>
        </is>
      </c>
      <c r="B16" s="15">
        <f>COUNTIF(Pipeline!H4:H60,"X · Perso")</f>
        <v/>
      </c>
      <c r="C16" s="16" t="inlineStr"/>
    </row>
    <row r="17">
      <c r="A17" s="18" t="inlineStr">
        <is>
          <t>Pausa</t>
        </is>
      </c>
      <c r="B17" s="19">
        <f>COUNTIF(Pipeline!H4:H60,"Pausa")</f>
        <v/>
      </c>
      <c r="C17" s="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1" t="inlineStr">
        <is>
          <t>VENERE — Funnel tracker: come si usa</t>
        </is>
      </c>
    </row>
    <row r="2">
      <c r="A2" s="22" t="inlineStr"/>
    </row>
    <row r="3">
      <c r="A3" s="23" t="inlineStr">
        <is>
          <t>1) Ogni riga = un centro estetico. Le prime 9 righe sono i target reali già pre-screenati a Milano (dal file prescreen).</t>
        </is>
      </c>
    </row>
    <row r="4">
      <c r="A4" s="23" t="inlineStr">
        <is>
          <t>2) Man mano che fai sourcing, riempi le righe vuote (ID già pronti T10, T11, ...). Mandami gli export e te li scoro.</t>
        </is>
      </c>
    </row>
    <row r="5">
      <c r="A5" s="23" t="inlineStr">
        <is>
          <t>3) STATO è un menu a tendina: aggiornalo a OGNI contatto. È la tua memoria — senza, perdi i follow-up.</t>
        </is>
      </c>
    </row>
    <row r="6">
      <c r="A6" s="22" t="inlineStr">
        <is>
          <t xml:space="preserve">   Stadi: 0 Da contattare → 1 Contattato → 2 Interesse → 3 Call → 4 Sopralluogo → 5 Interessato → 6 LOI. (X = perso, Pausa = ripesca dopo).</t>
        </is>
      </c>
    </row>
    <row r="7">
      <c r="A7" s="23" t="inlineStr">
        <is>
          <t>4) 'Prossima azione' + 'Data prossima azione': tienile sempre compilate sulle righe attive. Ogni lunedì lavori quelle in scadenza.</t>
        </is>
      </c>
    </row>
    <row r="8">
      <c r="A8" s="23" t="inlineStr">
        <is>
          <t>5) Il tab 'Cruscotto' conta tutto da solo. Quando '6 · LOI firmata' = 3, hai il gate per il seed.</t>
        </is>
      </c>
    </row>
    <row r="9">
      <c r="A9" s="23" t="inlineStr">
        <is>
          <t>6) Cadenza follow-up (vedi Kit contatto): giorno 0, +5, +12, poi Pausa e ripesca tra 2-3 mesi.</t>
        </is>
      </c>
    </row>
    <row r="10">
      <c r="A10" s="22" t="inlineStr"/>
    </row>
    <row r="11">
      <c r="A11" s="22" t="inlineStr">
        <is>
          <t>Regola d'oro (dal Kit): al primo contatto niente numeri, niente 'acquisizione', niente tema nero. Confronto tra pari sul futuro del settore.</t>
        </is>
      </c>
    </row>
    <row r="12">
      <c r="A12" s="22" t="inlineStr">
        <is>
          <t>File collegati: Venere_Piano_90_Giorni.md · Venere_Kit_Contatto_Titolari.md · Venere_Guida_Qualifica_Target.md · Venere_Scorecard_116_Target.xlsx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2026-08-29T14:32:24Z</dcterms:created>
  <dcterms:modified xsi:type="dcterms:W3CDTF">2026-09-06T12:17:05Z</dcterms:modified>
</cp:coreProperties>
</file>